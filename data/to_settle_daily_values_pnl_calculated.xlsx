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xaviersan/Desktop/Repositories/fly_analysis/data/"/>
    </mc:Choice>
  </mc:AlternateContent>
  <xr:revisionPtr revIDLastSave="0" documentId="13_ncr:9_{C814D2BE-B699-C342-9A2F-6C191E704B93}" xr6:coauthVersionLast="47" xr6:coauthVersionMax="47" xr10:uidLastSave="{00000000-0000-0000-0000-000000000000}"/>
  <bookViews>
    <workbookView xWindow="0" yWindow="760" windowWidth="30240" windowHeight="18880" xr2:uid="{C894A8C3-CED9-7649-B0F4-11DBDC1D1A35}"/>
  </bookViews>
  <sheets>
    <sheet name="fly_to_settle_pnl_calculations" sheetId="2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K13" i="2" l="1" a="1"/>
  <c r="K13" i="2" s="1"/>
  <c r="J13" i="2" a="1"/>
  <c r="J13" i="2" s="1"/>
  <c r="N4" i="2"/>
  <c r="G27" i="2" s="1"/>
  <c r="M4" i="2"/>
  <c r="G42" i="2" l="1"/>
  <c r="O4" i="2"/>
  <c r="G34" i="2"/>
  <c r="L13" i="2"/>
  <c r="G26" i="2"/>
  <c r="G30" i="2"/>
  <c r="G41" i="2"/>
  <c r="G33" i="2"/>
  <c r="G9" i="2"/>
  <c r="G38" i="2"/>
  <c r="G45" i="2"/>
  <c r="G37" i="2"/>
  <c r="G29" i="2"/>
  <c r="G44" i="2"/>
  <c r="G36" i="2"/>
  <c r="G28" i="2"/>
  <c r="G40" i="2"/>
  <c r="G32" i="2"/>
  <c r="G6" i="2"/>
  <c r="G39" i="2"/>
  <c r="G31" i="2"/>
  <c r="G43" i="2"/>
  <c r="G35" i="2"/>
  <c r="G20" i="2"/>
  <c r="G12" i="2"/>
  <c r="G19" i="2"/>
  <c r="G10" i="2"/>
  <c r="G8" i="2"/>
  <c r="G11" i="2"/>
  <c r="G4" i="2"/>
  <c r="G18" i="2"/>
  <c r="G25" i="2"/>
  <c r="G17" i="2"/>
  <c r="G24" i="2"/>
  <c r="G16" i="2"/>
  <c r="G23" i="2"/>
  <c r="G15" i="2"/>
  <c r="G7" i="2"/>
  <c r="G22" i="2"/>
  <c r="G14" i="2"/>
  <c r="G21" i="2"/>
  <c r="G13" i="2"/>
  <c r="G5" i="2"/>
  <c r="J16" i="2" l="1"/>
  <c r="J9" i="2"/>
  <c r="K9" i="2"/>
  <c r="K16" i="2"/>
  <c r="L9" i="2" l="1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<sst xmlns="http://purl.oclc.org/ooxml/spreadsheetml/main" count="22" uniqueCount="22">
  <si>
    <t>Daily PNL</t>
  </si>
  <si>
    <t>Total PNL</t>
  </si>
  <si>
    <t>M0 contract</t>
  </si>
  <si>
    <t>M1 Settlement</t>
  </si>
  <si>
    <t>M0 Settlement</t>
  </si>
  <si>
    <t>M1 contract</t>
  </si>
  <si>
    <t>Date</t>
  </si>
  <si>
    <t>Jan/Feb IM</t>
  </si>
  <si>
    <t>Feb/Mar IM</t>
  </si>
  <si>
    <t>Jan/Feb/Mar Fly</t>
  </si>
  <si>
    <t>Jan Value</t>
  </si>
  <si>
    <t>Feb Value</t>
  </si>
  <si>
    <t>Mar Value</t>
  </si>
  <si>
    <t>Entry Date</t>
  </si>
  <si>
    <t>Sell Fly = Sell Front Spread, Buy Back Spread</t>
  </si>
  <si>
    <t>Usually Back Spread acts as hedge so expect to lose</t>
  </si>
  <si>
    <t>Implied Fly</t>
  </si>
  <si>
    <t>Implied Front Spread</t>
  </si>
  <si>
    <t>Implied Back Spread</t>
  </si>
  <si>
    <t>Another way of calculating</t>
  </si>
  <si>
    <t>Leg 1 PNL</t>
  </si>
  <si>
    <t>Leg 2 PNL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</si>
</sst>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8" fillId="0" borderId="10" xfId="0" applyFont="1" applyBorder="1"/>
    <xf numFmtId="14" fontId="18" fillId="0" borderId="10" xfId="0" applyNumberFormat="1" applyFont="1" applyBorder="1"/>
    <xf numFmtId="17" fontId="0" fillId="0" borderId="0" xfId="0" applyNumberFormat="1"/>
    <xf numFmtId="17" fontId="0" fillId="0" borderId="10" xfId="0" applyNumberFormat="1" applyBorder="1"/>
    <xf numFmtId="0" fontId="0" fillId="33" borderId="0" xfId="0" applyFill="1"/>
    <xf numFmtId="0" fontId="0" fillId="33" borderId="0" xfId="0" applyFill="1" applyAlignment="1">
      <alignment horizontal="center"/>
    </xf>
    <xf numFmtId="0" fontId="17" fillId="35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0" fillId="33" borderId="0" xfId="0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37" borderId="0" xfId="0" applyFill="1" applyAlignment="1">
      <alignment horizontal="center" vertical="center"/>
    </xf>
    <xf numFmtId="0" fontId="0" fillId="0" borderId="10" xfId="0" applyBorder="1"/>
    <xf numFmtId="1" fontId="0" fillId="0" borderId="0" xfId="0" applyNumberFormat="1"/>
    <xf numFmtId="1" fontId="0" fillId="37" borderId="0" xfId="0" applyNumberFormat="1" applyFill="1" applyAlignment="1">
      <alignment horizontal="center" vertical="center"/>
    </xf>
    <xf numFmtId="0" fontId="20" fillId="37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center" vertical="center"/>
    </xf>
    <xf numFmtId="1" fontId="20" fillId="0" borderId="0" xfId="0" applyNumberFormat="1" applyFont="1" applyAlignment="1">
      <alignment vertical="center"/>
    </xf>
    <xf numFmtId="1" fontId="20" fillId="0" borderId="0" xfId="0" applyNumberFormat="1" applyFont="1"/>
    <xf numFmtId="0" fontId="0" fillId="37" borderId="0" xfId="0" applyFill="1"/>
    <xf numFmtId="0" fontId="18" fillId="37" borderId="0" xfId="0" applyFont="1" applyFill="1" applyAlignment="1">
      <alignment horizontal="center"/>
    </xf>
    <xf numFmtId="0" fontId="20" fillId="34" borderId="0" xfId="0" applyFont="1" applyFill="1"/>
    <xf numFmtId="0" fontId="19" fillId="37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D3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eetMetadata" Target="metadata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A9DF-0289-DF4F-B75B-9335E8C0DCA4}">
  <dimension ref="B1:O66"/>
  <sheetViews>
    <sheetView tabSelected="1" workbookViewId="0">
      <selection activeCell="L17" sqref="L17"/>
    </sheetView>
  </sheetViews>
  <sheetFormatPr baseColWidth="10" defaultRowHeight="16" x14ac:dyDescent="0.2"/>
  <cols>
    <col min="3" max="3" width="17.33203125" bestFit="1" customWidth="1"/>
    <col min="5" max="5" width="13" bestFit="1" customWidth="1"/>
    <col min="9" max="9" width="18" customWidth="1"/>
    <col min="10" max="10" width="18" bestFit="1" customWidth="1"/>
    <col min="11" max="12" width="18" customWidth="1"/>
    <col min="13" max="13" width="12" customWidth="1"/>
    <col min="14" max="14" width="18.1640625" customWidth="1"/>
    <col min="15" max="15" width="14" bestFit="1" customWidth="1"/>
  </cols>
  <sheetData>
    <row r="1" spans="2:15" ht="20" customHeight="1" x14ac:dyDescent="0.2"/>
    <row r="2" spans="2:15" x14ac:dyDescent="0.2">
      <c r="B2" s="2"/>
    </row>
    <row r="3" spans="2:15" x14ac:dyDescent="0.2">
      <c r="B3" s="25" t="s">
        <v>6</v>
      </c>
      <c r="C3" s="7" t="s">
        <v>4</v>
      </c>
      <c r="D3" s="24" t="s">
        <v>2</v>
      </c>
      <c r="E3" s="7" t="s">
        <v>3</v>
      </c>
      <c r="F3" s="24" t="s">
        <v>5</v>
      </c>
      <c r="G3" s="26" t="s">
        <v>0</v>
      </c>
      <c r="I3" s="16" t="s">
        <v>13</v>
      </c>
      <c r="J3" s="11" t="s">
        <v>10</v>
      </c>
      <c r="K3" s="11" t="s">
        <v>11</v>
      </c>
      <c r="L3" s="11" t="s">
        <v>12</v>
      </c>
      <c r="M3" s="12" t="s">
        <v>7</v>
      </c>
      <c r="N3" s="13" t="s">
        <v>8</v>
      </c>
      <c r="O3" s="21" t="s">
        <v>9</v>
      </c>
    </row>
    <row r="4" spans="2:15" x14ac:dyDescent="0.2">
      <c r="B4" s="2" t="d">
        <v>2025-01-02</v>
      </c>
      <c r="C4" s="1">
        <v>505</v>
      </c>
      <c r="D4" s="5" t="d">
        <v>2025-01-01</v>
      </c>
      <c r="E4" s="1">
        <v>501</v>
      </c>
      <c r="F4" s="5" t="d">
        <v>2025-02-01</v>
      </c>
      <c r="G4">
        <f t="shared" ref="G4:G25" si="0">((C4-E4)-$M$4)*-1</f>
        <v>1</v>
      </c>
      <c r="I4" s="14" t="d">
        <v>2024-12-31</v>
      </c>
      <c r="J4" s="15">
        <v>500</v>
      </c>
      <c r="K4" s="15">
        <v>495</v>
      </c>
      <c r="L4" s="15">
        <v>498</v>
      </c>
      <c r="M4" s="15">
        <f>J4-K4</f>
        <v>5</v>
      </c>
      <c r="N4" s="15">
        <f>K4-L4</f>
        <v>-3</v>
      </c>
      <c r="O4" s="22">
        <f>M4-N4</f>
        <v>8</v>
      </c>
    </row>
    <row r="5" spans="2:15" x14ac:dyDescent="0.2">
      <c r="B5" s="2" t="d">
        <v>2025-01-03</v>
      </c>
      <c r="C5" s="1">
        <v>504</v>
      </c>
      <c r="D5" s="5" t="d">
        <v>2025-01-01</v>
      </c>
      <c r="E5" s="1">
        <v>502</v>
      </c>
      <c r="F5" s="5" t="d">
        <v>2025-02-01</v>
      </c>
      <c r="G5">
        <f t="shared" si="0"/>
        <v>3</v>
      </c>
      <c r="M5" s="27" t="s">
        <v>14</v>
      </c>
      <c r="N5" s="27"/>
      <c r="O5" s="27"/>
    </row>
    <row r="6" spans="2:15" x14ac:dyDescent="0.2">
      <c r="B6" s="2" t="d">
        <v>2025-01-06</v>
      </c>
      <c r="C6" s="1">
        <v>508</v>
      </c>
      <c r="D6" s="5" t="d">
        <v>2025-01-01</v>
      </c>
      <c r="E6" s="1">
        <v>505</v>
      </c>
      <c r="F6" s="5" t="d">
        <v>2025-02-01</v>
      </c>
      <c r="G6">
        <f t="shared" si="0"/>
        <v>2</v>
      </c>
    </row>
    <row r="7" spans="2:15" x14ac:dyDescent="0.2">
      <c r="B7" s="2" t="d">
        <v>2025-01-07</v>
      </c>
      <c r="C7" s="1">
        <v>506</v>
      </c>
      <c r="D7" s="5" t="d">
        <v>2025-01-01</v>
      </c>
      <c r="E7" s="1">
        <v>507</v>
      </c>
      <c r="F7" s="5" t="d">
        <v>2025-02-01</v>
      </c>
      <c r="G7">
        <f t="shared" si="0"/>
        <v>6</v>
      </c>
    </row>
    <row r="8" spans="2:15" x14ac:dyDescent="0.2">
      <c r="B8" s="2" t="d">
        <v>2025-01-08</v>
      </c>
      <c r="C8" s="1">
        <v>507</v>
      </c>
      <c r="D8" s="5" t="d">
        <v>2025-01-01</v>
      </c>
      <c r="E8" s="1">
        <v>510</v>
      </c>
      <c r="F8" s="5" t="d">
        <v>2025-02-01</v>
      </c>
      <c r="G8">
        <f t="shared" si="0"/>
        <v>8</v>
      </c>
      <c r="J8" s="9" t="s">
        <v>20</v>
      </c>
      <c r="K8" s="10" t="s">
        <v>21</v>
      </c>
      <c r="L8" s="8" t="s">
        <v>1</v>
      </c>
    </row>
    <row r="9" spans="2:15" x14ac:dyDescent="0.2">
      <c r="B9" s="2" t="d">
        <v>2025-01-09</v>
      </c>
      <c r="C9" s="1">
        <v>508</v>
      </c>
      <c r="D9" s="5" t="d">
        <v>2025-01-01</v>
      </c>
      <c r="E9" s="1">
        <v>509</v>
      </c>
      <c r="F9" s="5" t="d">
        <v>2025-02-01</v>
      </c>
      <c r="G9">
        <f t="shared" si="0"/>
        <v>6</v>
      </c>
      <c r="J9">
        <f>SUM(G4:G25)</f>
        <v>67</v>
      </c>
      <c r="K9">
        <f>SUM(G26:G45)</f>
        <v>34</v>
      </c>
      <c r="L9">
        <f>J9+K9</f>
        <v>101</v>
      </c>
    </row>
    <row r="10" spans="2:15" x14ac:dyDescent="0.2">
      <c r="B10" s="2" t="d">
        <v>2025-01-10</v>
      </c>
      <c r="C10" s="1">
        <v>508</v>
      </c>
      <c r="D10" s="5" t="d">
        <v>2025-01-01</v>
      </c>
      <c r="E10" s="1">
        <v>506</v>
      </c>
      <c r="F10" s="5" t="d">
        <v>2025-02-01</v>
      </c>
      <c r="G10">
        <f t="shared" si="0"/>
        <v>3</v>
      </c>
      <c r="J10" s="27" t="s">
        <v>15</v>
      </c>
      <c r="K10" s="27"/>
      <c r="L10" s="27"/>
    </row>
    <row r="11" spans="2:15" x14ac:dyDescent="0.2">
      <c r="B11" s="2" t="d">
        <v>2025-01-13</v>
      </c>
      <c r="C11" s="1">
        <v>510</v>
      </c>
      <c r="D11" s="5" t="d">
        <v>2025-01-01</v>
      </c>
      <c r="E11" s="1">
        <v>508</v>
      </c>
      <c r="F11" s="5" t="d">
        <v>2025-02-01</v>
      </c>
      <c r="G11">
        <f t="shared" si="0"/>
        <v>3</v>
      </c>
    </row>
    <row r="12" spans="2:15" x14ac:dyDescent="0.2">
      <c r="B12" s="2" t="d">
        <v>2025-01-14</v>
      </c>
      <c r="C12" s="1">
        <v>504</v>
      </c>
      <c r="D12" s="5" t="d">
        <v>2025-01-01</v>
      </c>
      <c r="E12" s="1">
        <v>506</v>
      </c>
      <c r="F12" s="5" t="d">
        <v>2025-02-01</v>
      </c>
      <c r="G12">
        <f t="shared" si="0"/>
        <v>7</v>
      </c>
      <c r="J12" s="16" t="s">
        <v>17</v>
      </c>
      <c r="K12" s="19" t="s">
        <v>18</v>
      </c>
      <c r="L12" s="20" t="s">
        <v>16</v>
      </c>
    </row>
    <row r="13" spans="2:15" x14ac:dyDescent="0.2">
      <c r="B13" s="2" t="d">
        <v>2025-01-15</v>
      </c>
      <c r="C13" s="1">
        <v>506</v>
      </c>
      <c r="D13" s="5" t="d">
        <v>2025-01-01</v>
      </c>
      <c r="E13" s="1">
        <v>506</v>
      </c>
      <c r="F13" s="5" t="d">
        <v>2025-02-01</v>
      </c>
      <c r="G13">
        <f t="shared" si="0"/>
        <v>5</v>
      </c>
      <c r="J13" s="18" cm="1">
        <f t="array" ref="J13">AVERAGE(C4:C25-E4:E25)</f>
        <v>1.9545454545454546</v>
      </c>
      <c r="K13" s="18" cm="1">
        <f t="array" ref="K13">AVERAGE(C26:C45-E26:E45)</f>
        <v>-1.3</v>
      </c>
      <c r="L13" s="23">
        <f>J13-K13</f>
        <v>3.2545454545454549</v>
      </c>
    </row>
    <row r="14" spans="2:15" x14ac:dyDescent="0.2">
      <c r="B14" s="2" t="d">
        <v>2025-01-16</v>
      </c>
      <c r="C14" s="1">
        <v>505</v>
      </c>
      <c r="D14" s="5" t="d">
        <v>2025-01-01</v>
      </c>
      <c r="E14" s="1">
        <v>507</v>
      </c>
      <c r="F14" s="5" t="d">
        <v>2025-02-01</v>
      </c>
      <c r="G14">
        <f t="shared" si="0"/>
        <v>7</v>
      </c>
    </row>
    <row r="15" spans="2:15" x14ac:dyDescent="0.2">
      <c r="B15" s="2" t="d">
        <v>2025-01-17</v>
      </c>
      <c r="C15" s="1">
        <v>509</v>
      </c>
      <c r="D15" s="5" t="d">
        <v>2025-01-01</v>
      </c>
      <c r="E15" s="1">
        <v>504</v>
      </c>
      <c r="F15" s="5" t="d">
        <v>2025-02-01</v>
      </c>
      <c r="G15">
        <f t="shared" si="0"/>
        <v>0</v>
      </c>
      <c r="J15" s="27" t="s">
        <v>19</v>
      </c>
      <c r="K15" s="27"/>
    </row>
    <row r="16" spans="2:15" x14ac:dyDescent="0.2">
      <c r="B16" s="2" t="d">
        <v>2025-01-20</v>
      </c>
      <c r="C16" s="1">
        <v>510</v>
      </c>
      <c r="D16" s="5" t="d">
        <v>2025-01-01</v>
      </c>
      <c r="E16" s="1">
        <v>503</v>
      </c>
      <c r="F16" s="5" t="d">
        <v>2025-02-01</v>
      </c>
      <c r="G16">
        <f t="shared" si="0"/>
        <v>-2</v>
      </c>
      <c r="J16">
        <f>(M4-J13)*COUNT(G4:G25)</f>
        <v>67</v>
      </c>
      <c r="K16">
        <f>(K13-N4)*COUNT(G26:G45)</f>
        <v>34</v>
      </c>
    </row>
    <row r="17" spans="2:7" x14ac:dyDescent="0.2">
      <c r="B17" s="2" t="d">
        <v>2025-01-21</v>
      </c>
      <c r="C17" s="1">
        <v>512</v>
      </c>
      <c r="D17" s="5" t="d">
        <v>2025-01-01</v>
      </c>
      <c r="E17" s="1">
        <v>506</v>
      </c>
      <c r="F17" s="5" t="d">
        <v>2025-02-01</v>
      </c>
      <c r="G17">
        <f t="shared" si="0"/>
        <v>-1</v>
      </c>
    </row>
    <row r="18" spans="2:7" x14ac:dyDescent="0.2">
      <c r="B18" s="2" t="d">
        <v>2025-01-22</v>
      </c>
      <c r="C18" s="1">
        <v>514</v>
      </c>
      <c r="D18" s="5" t="d">
        <v>2025-01-01</v>
      </c>
      <c r="E18" s="1">
        <v>508</v>
      </c>
      <c r="F18" s="5" t="d">
        <v>2025-02-01</v>
      </c>
      <c r="G18">
        <f t="shared" si="0"/>
        <v>-1</v>
      </c>
    </row>
    <row r="19" spans="2:7" x14ac:dyDescent="0.2">
      <c r="B19" s="2" t="d">
        <v>2025-01-23</v>
      </c>
      <c r="C19" s="1">
        <v>513</v>
      </c>
      <c r="D19" s="5" t="d">
        <v>2025-01-01</v>
      </c>
      <c r="E19" s="1">
        <v>510</v>
      </c>
      <c r="F19" s="5" t="d">
        <v>2025-02-01</v>
      </c>
      <c r="G19">
        <f t="shared" si="0"/>
        <v>2</v>
      </c>
    </row>
    <row r="20" spans="2:7" x14ac:dyDescent="0.2">
      <c r="B20" s="2" t="d">
        <v>2025-01-24</v>
      </c>
      <c r="C20" s="1">
        <v>514</v>
      </c>
      <c r="D20" s="5" t="d">
        <v>2025-01-01</v>
      </c>
      <c r="E20" s="1">
        <v>510</v>
      </c>
      <c r="F20" s="5" t="d">
        <v>2025-02-01</v>
      </c>
      <c r="G20">
        <f t="shared" si="0"/>
        <v>1</v>
      </c>
    </row>
    <row r="21" spans="2:7" x14ac:dyDescent="0.2">
      <c r="B21" s="2" t="d">
        <v>2025-01-27</v>
      </c>
      <c r="C21" s="1">
        <v>514</v>
      </c>
      <c r="D21" s="5" t="d">
        <v>2025-01-01</v>
      </c>
      <c r="E21" s="1">
        <v>511</v>
      </c>
      <c r="F21" s="5" t="d">
        <v>2025-02-01</v>
      </c>
      <c r="G21">
        <f t="shared" si="0"/>
        <v>2</v>
      </c>
    </row>
    <row r="22" spans="2:7" x14ac:dyDescent="0.2">
      <c r="B22" s="2" t="d">
        <v>2025-01-28</v>
      </c>
      <c r="C22" s="1">
        <v>516</v>
      </c>
      <c r="D22" s="5" t="d">
        <v>2025-01-01</v>
      </c>
      <c r="E22" s="1">
        <v>510</v>
      </c>
      <c r="F22" s="5" t="d">
        <v>2025-02-01</v>
      </c>
      <c r="G22">
        <f t="shared" si="0"/>
        <v>-1</v>
      </c>
    </row>
    <row r="23" spans="2:7" x14ac:dyDescent="0.2">
      <c r="B23" s="2" t="d">
        <v>2025-01-29</v>
      </c>
      <c r="C23" s="1">
        <v>510</v>
      </c>
      <c r="D23" s="5" t="d">
        <v>2025-01-01</v>
      </c>
      <c r="E23" s="1">
        <v>516</v>
      </c>
      <c r="F23" s="5" t="d">
        <v>2025-02-01</v>
      </c>
      <c r="G23">
        <f t="shared" si="0"/>
        <v>11</v>
      </c>
    </row>
    <row r="24" spans="2:7" x14ac:dyDescent="0.2">
      <c r="B24" s="2" t="d">
        <v>2025-01-30</v>
      </c>
      <c r="C24" s="1">
        <v>520</v>
      </c>
      <c r="D24" s="5" t="d">
        <v>2025-01-01</v>
      </c>
      <c r="E24" s="1">
        <v>514</v>
      </c>
      <c r="F24" s="5" t="d">
        <v>2025-02-01</v>
      </c>
      <c r="G24">
        <f t="shared" si="0"/>
        <v>-1</v>
      </c>
    </row>
    <row r="25" spans="2:7" x14ac:dyDescent="0.2">
      <c r="B25" s="4" t="d">
        <v>2025-01-31</v>
      </c>
      <c r="C25" s="3">
        <v>517</v>
      </c>
      <c r="D25" s="6" t="d">
        <v>2025-01-01</v>
      </c>
      <c r="E25" s="3">
        <v>518</v>
      </c>
      <c r="F25" s="6" t="d">
        <v>2025-02-01</v>
      </c>
      <c r="G25" s="17">
        <f t="shared" si="0"/>
        <v>6</v>
      </c>
    </row>
    <row r="26" spans="2:7" x14ac:dyDescent="0.2">
      <c r="B26" s="2" t="d">
        <v>2025-02-03</v>
      </c>
      <c r="C26" s="1">
        <v>501</v>
      </c>
      <c r="D26" s="5" t="d">
        <v>2025-02-01</v>
      </c>
      <c r="E26" s="1">
        <v>503</v>
      </c>
      <c r="F26" s="5" t="d">
        <v>2025-03-01</v>
      </c>
      <c r="G26">
        <f t="shared" ref="G26:G45" si="1">((C26-E26)-$N$4)*1</f>
        <v>1</v>
      </c>
    </row>
    <row r="27" spans="2:7" x14ac:dyDescent="0.2">
      <c r="B27" s="2" t="d">
        <v>2025-02-04</v>
      </c>
      <c r="C27" s="1">
        <v>504</v>
      </c>
      <c r="D27" s="5" t="d">
        <v>2025-02-01</v>
      </c>
      <c r="E27" s="1">
        <v>506</v>
      </c>
      <c r="F27" s="5" t="d">
        <v>2025-03-01</v>
      </c>
      <c r="G27">
        <f t="shared" si="1"/>
        <v>1</v>
      </c>
    </row>
    <row r="28" spans="2:7" x14ac:dyDescent="0.2">
      <c r="B28" s="2" t="d">
        <v>2025-02-05</v>
      </c>
      <c r="C28" s="1">
        <v>503</v>
      </c>
      <c r="D28" s="5" t="d">
        <v>2025-02-01</v>
      </c>
      <c r="E28" s="1">
        <v>503</v>
      </c>
      <c r="F28" s="5" t="d">
        <v>2025-03-01</v>
      </c>
      <c r="G28">
        <f t="shared" si="1"/>
        <v>3</v>
      </c>
    </row>
    <row r="29" spans="2:7" x14ac:dyDescent="0.2">
      <c r="B29" s="2" t="d">
        <v>2025-02-06</v>
      </c>
      <c r="C29" s="1">
        <v>502</v>
      </c>
      <c r="D29" s="5" t="d">
        <v>2025-02-01</v>
      </c>
      <c r="E29" s="1">
        <v>504</v>
      </c>
      <c r="F29" s="5" t="d">
        <v>2025-03-01</v>
      </c>
      <c r="G29">
        <f t="shared" si="1"/>
        <v>1</v>
      </c>
    </row>
    <row r="30" spans="2:7" x14ac:dyDescent="0.2">
      <c r="B30" s="2" t="d">
        <v>2025-02-07</v>
      </c>
      <c r="C30" s="1">
        <v>501</v>
      </c>
      <c r="D30" s="5" t="d">
        <v>2025-02-01</v>
      </c>
      <c r="E30" s="1">
        <v>505</v>
      </c>
      <c r="F30" s="5" t="d">
        <v>2025-03-01</v>
      </c>
      <c r="G30">
        <f t="shared" si="1"/>
        <v>-1</v>
      </c>
    </row>
    <row r="31" spans="2:7" x14ac:dyDescent="0.2">
      <c r="B31" s="2" t="d">
        <v>2025-02-10</v>
      </c>
      <c r="C31" s="1">
        <v>504</v>
      </c>
      <c r="D31" s="5" t="d">
        <v>2025-02-01</v>
      </c>
      <c r="E31" s="1">
        <v>503</v>
      </c>
      <c r="F31" s="5" t="d">
        <v>2025-03-01</v>
      </c>
      <c r="G31">
        <f t="shared" si="1"/>
        <v>4</v>
      </c>
    </row>
    <row r="32" spans="2:7" x14ac:dyDescent="0.2">
      <c r="B32" s="2" t="d">
        <v>2025-02-11</v>
      </c>
      <c r="C32" s="1">
        <v>507</v>
      </c>
      <c r="D32" s="5" t="d">
        <v>2025-02-01</v>
      </c>
      <c r="E32" s="1">
        <v>506</v>
      </c>
      <c r="F32" s="5" t="d">
        <v>2025-03-01</v>
      </c>
      <c r="G32">
        <f t="shared" si="1"/>
        <v>4</v>
      </c>
    </row>
    <row r="33" spans="2:7" x14ac:dyDescent="0.2">
      <c r="B33" s="2" t="d">
        <v>2025-02-12</v>
      </c>
      <c r="C33" s="1">
        <v>505</v>
      </c>
      <c r="D33" s="5" t="d">
        <v>2025-02-01</v>
      </c>
      <c r="E33" s="1">
        <v>508</v>
      </c>
      <c r="F33" s="5" t="d">
        <v>2025-03-01</v>
      </c>
      <c r="G33">
        <f t="shared" si="1"/>
        <v>0</v>
      </c>
    </row>
    <row r="34" spans="2:7" x14ac:dyDescent="0.2">
      <c r="B34" s="2" t="d">
        <v>2025-02-13</v>
      </c>
      <c r="C34" s="1">
        <v>506</v>
      </c>
      <c r="D34" s="5" t="d">
        <v>2025-02-01</v>
      </c>
      <c r="E34" s="1">
        <v>508</v>
      </c>
      <c r="F34" s="5" t="d">
        <v>2025-03-01</v>
      </c>
      <c r="G34">
        <f t="shared" si="1"/>
        <v>1</v>
      </c>
    </row>
    <row r="35" spans="2:7" x14ac:dyDescent="0.2">
      <c r="B35" s="2" t="d">
        <v>2025-02-14</v>
      </c>
      <c r="C35" s="1">
        <v>503</v>
      </c>
      <c r="D35" s="5" t="d">
        <v>2025-02-01</v>
      </c>
      <c r="E35" s="1">
        <v>505</v>
      </c>
      <c r="F35" s="5" t="d">
        <v>2025-03-01</v>
      </c>
      <c r="G35">
        <f t="shared" si="1"/>
        <v>1</v>
      </c>
    </row>
    <row r="36" spans="2:7" x14ac:dyDescent="0.2">
      <c r="B36" s="2" t="d">
        <v>2025-02-17</v>
      </c>
      <c r="C36" s="1">
        <v>501</v>
      </c>
      <c r="D36" s="5" t="d">
        <v>2025-02-01</v>
      </c>
      <c r="E36" s="1">
        <v>504</v>
      </c>
      <c r="F36" s="5" t="d">
        <v>2025-03-01</v>
      </c>
      <c r="G36">
        <f t="shared" si="1"/>
        <v>0</v>
      </c>
    </row>
    <row r="37" spans="2:7" x14ac:dyDescent="0.2">
      <c r="B37" s="2" t="d">
        <v>2025-02-18</v>
      </c>
      <c r="C37" s="1">
        <v>504</v>
      </c>
      <c r="D37" s="5" t="d">
        <v>2025-02-01</v>
      </c>
      <c r="E37" s="1">
        <v>504</v>
      </c>
      <c r="F37" s="5" t="d">
        <v>2025-03-01</v>
      </c>
      <c r="G37">
        <f t="shared" si="1"/>
        <v>3</v>
      </c>
    </row>
    <row r="38" spans="2:7" x14ac:dyDescent="0.2">
      <c r="B38" s="2" t="d">
        <v>2025-02-19</v>
      </c>
      <c r="C38" s="1">
        <v>504</v>
      </c>
      <c r="D38" s="5" t="d">
        <v>2025-02-01</v>
      </c>
      <c r="E38" s="1">
        <v>503</v>
      </c>
      <c r="F38" s="5" t="d">
        <v>2025-03-01</v>
      </c>
      <c r="G38">
        <f t="shared" si="1"/>
        <v>4</v>
      </c>
    </row>
    <row r="39" spans="2:7" x14ac:dyDescent="0.2">
      <c r="B39" s="2" t="d">
        <v>2025-02-20</v>
      </c>
      <c r="C39" s="1">
        <v>505</v>
      </c>
      <c r="D39" s="5" t="d">
        <v>2025-02-01</v>
      </c>
      <c r="E39" s="1">
        <v>502</v>
      </c>
      <c r="F39" s="5" t="d">
        <v>2025-03-01</v>
      </c>
      <c r="G39">
        <f t="shared" si="1"/>
        <v>6</v>
      </c>
    </row>
    <row r="40" spans="2:7" x14ac:dyDescent="0.2">
      <c r="B40" s="2" t="d">
        <v>2025-02-21</v>
      </c>
      <c r="C40" s="1">
        <v>507</v>
      </c>
      <c r="D40" s="5" t="d">
        <v>2025-02-01</v>
      </c>
      <c r="E40" s="1">
        <v>505</v>
      </c>
      <c r="F40" s="5" t="d">
        <v>2025-03-01</v>
      </c>
      <c r="G40">
        <f t="shared" si="1"/>
        <v>5</v>
      </c>
    </row>
    <row r="41" spans="2:7" x14ac:dyDescent="0.2">
      <c r="B41" s="2" t="d">
        <v>2025-02-24</v>
      </c>
      <c r="C41" s="1">
        <v>510</v>
      </c>
      <c r="D41" s="5" t="d">
        <v>2025-02-01</v>
      </c>
      <c r="E41" s="1">
        <v>508</v>
      </c>
      <c r="F41" s="5" t="d">
        <v>2025-03-01</v>
      </c>
      <c r="G41">
        <f t="shared" si="1"/>
        <v>5</v>
      </c>
    </row>
    <row r="42" spans="2:7" x14ac:dyDescent="0.2">
      <c r="B42" s="2" t="d">
        <v>2025-02-25</v>
      </c>
      <c r="C42" s="1">
        <v>516</v>
      </c>
      <c r="D42" s="5" t="d">
        <v>2025-02-01</v>
      </c>
      <c r="E42" s="1">
        <v>513</v>
      </c>
      <c r="F42" s="5" t="d">
        <v>2025-03-01</v>
      </c>
      <c r="G42">
        <f t="shared" si="1"/>
        <v>6</v>
      </c>
    </row>
    <row r="43" spans="2:7" x14ac:dyDescent="0.2">
      <c r="B43" s="2" t="d">
        <v>2025-02-26</v>
      </c>
      <c r="C43" s="1">
        <v>506</v>
      </c>
      <c r="D43" s="5" t="d">
        <v>2025-02-01</v>
      </c>
      <c r="E43" s="1">
        <v>517</v>
      </c>
      <c r="F43" s="5" t="d">
        <v>2025-03-01</v>
      </c>
      <c r="G43">
        <f t="shared" si="1"/>
        <v>-8</v>
      </c>
    </row>
    <row r="44" spans="2:7" x14ac:dyDescent="0.2">
      <c r="B44" s="2" t="d">
        <v>2025-02-27</v>
      </c>
      <c r="C44" s="1">
        <v>513</v>
      </c>
      <c r="D44" s="5" t="d">
        <v>2025-02-01</v>
      </c>
      <c r="E44" s="1">
        <v>516</v>
      </c>
      <c r="F44" s="5" t="d">
        <v>2025-03-01</v>
      </c>
      <c r="G44">
        <f t="shared" si="1"/>
        <v>0</v>
      </c>
    </row>
    <row r="45" spans="2:7" x14ac:dyDescent="0.2">
      <c r="B45" s="4" t="d">
        <v>2025-02-28</v>
      </c>
      <c r="C45" s="3">
        <v>511</v>
      </c>
      <c r="D45" s="6" t="d">
        <v>2025-02-01</v>
      </c>
      <c r="E45" s="3">
        <v>516</v>
      </c>
      <c r="F45" s="6" t="d">
        <v>2025-03-01</v>
      </c>
      <c r="G45" s="17">
        <f t="shared" si="1"/>
        <v>-2</v>
      </c>
    </row>
    <row r="46" spans="2:7" x14ac:dyDescent="0.2">
      <c r="B46" s="2"/>
    </row>
    <row r="47" spans="2:7" x14ac:dyDescent="0.2">
      <c r="B47" s="2"/>
    </row>
    <row r="48" spans="2:7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</sheetData>
  <mergeCells count="3">
    <mergeCell ref="J15:K15"/>
    <mergeCell ref="M5:O5"/>
    <mergeCell ref="J10:L10"/>
  </mergeCells>
  <pageMargins left="0.7" right="0.7" top="0.75" bottom="0.75" header="0.3" footer="0.3"/>
  <ignoredErrors>
    <ignoredError sqref="J13:K13" formulaRange="1"/>
  </ignoredError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fly_to_settle_pnl_calculations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Boon SANTIMANO</cp:lastModifiedBy>
  <dcterms:created xsi:type="dcterms:W3CDTF">2025-09-26T22:27:03Z</dcterms:created>
  <dcterms:modified xsi:type="dcterms:W3CDTF">2026-02-28T11:04:34Z</dcterms:modified>
</cp:coreProperties>
</file>